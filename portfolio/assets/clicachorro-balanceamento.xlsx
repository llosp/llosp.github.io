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amento" sheetId="1" state="visible" r:id="rId1"/>
    <sheet name="Como funci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"/>
    <numFmt numFmtId="167" formatCode="#,##0.0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7CC"/>
      </patternFill>
    </fill>
    <fill>
      <patternFill patternType="solid">
        <fgColor rgb="00F5F1E8"/>
      </patternFill>
    </fill>
    <fill>
      <patternFill patternType="solid">
        <fgColor rgb="00D6F5D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0" borderId="1" pivotButton="0" quotePrefix="0" xfId="0"/>
    <xf numFmtId="1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7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2" borderId="0" pivotButton="0" quotePrefix="0" xfId="0"/>
    <xf numFmtId="3" fontId="3" fillId="2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168" fontId="3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8" customWidth="1" min="4" max="4"/>
    <col width="20" customWidth="1" min="5" max="5"/>
    <col width="18" customWidth="1" min="6" max="6"/>
    <col width="16" customWidth="1" min="7" max="7"/>
    <col width="16" customWidth="1" min="8" max="8"/>
    <col width="10" customWidth="1" min="9" max="9"/>
    <col width="14" customWidth="1" min="10" max="10"/>
  </cols>
  <sheetData>
    <row r="2">
      <c r="B2" s="1" t="inlineStr">
        <is>
          <t>ClicaChorro — Planilha de Balanceamento</t>
        </is>
      </c>
    </row>
    <row r="3">
      <c r="B3" s="2" t="inlineStr">
        <is>
          <t>Economia derivada automaticamente da duracao-alvo para zerar. Mude os inputs (azul) e toda a curva se rebalanceia.</t>
        </is>
      </c>
    </row>
    <row r="5">
      <c r="B5" s="3" t="inlineStr">
        <is>
          <t>INPUTS (edite as celulas azuis)</t>
        </is>
      </c>
    </row>
    <row r="6">
      <c r="B6" s="4" t="inlineStr">
        <is>
          <t>Tempo-alvo para zerar (min)</t>
        </is>
      </c>
      <c r="C6" s="5" t="n"/>
      <c r="D6" s="6" t="n">
        <v>45</v>
      </c>
    </row>
    <row r="7">
      <c r="B7" s="4" t="inlineStr">
        <is>
          <t>N. de estagios ate zerar (N)</t>
        </is>
      </c>
      <c r="C7" s="5" t="n"/>
      <c r="D7" s="6" t="n">
        <v>12</v>
      </c>
    </row>
    <row r="8">
      <c r="B8" s="4" t="inlineStr">
        <is>
          <t>Crescimento de custo por estagio (a)</t>
        </is>
      </c>
      <c r="C8" s="5" t="n"/>
      <c r="D8" s="7" t="n">
        <v>1.6</v>
      </c>
    </row>
    <row r="9">
      <c r="B9" s="4" t="inlineStr">
        <is>
          <t>Crescimento de producao por estagio (b)</t>
        </is>
      </c>
      <c r="C9" s="5" t="n"/>
      <c r="D9" s="7" t="n">
        <v>1.45</v>
      </c>
    </row>
    <row r="10">
      <c r="B10" s="4" t="inlineStr">
        <is>
          <t>Producao base P0 (carinhos/s)</t>
        </is>
      </c>
      <c r="C10" s="5" t="n"/>
      <c r="D10" s="8" t="n">
        <v>5</v>
      </c>
    </row>
    <row r="11">
      <c r="B11" s="4" t="inlineStr">
        <is>
          <t>Carinhos por clique (base)</t>
        </is>
      </c>
      <c r="C11" s="5" t="n"/>
      <c r="D11" s="9" t="n">
        <v>1</v>
      </c>
    </row>
    <row r="14">
      <c r="B14" s="3" t="inlineStr">
        <is>
          <t>VALORES DERIVADOS (formulas)</t>
        </is>
      </c>
    </row>
    <row r="15">
      <c r="B15" s="10" t="inlineStr">
        <is>
          <t>Tempo-alvo (segundos)  T</t>
        </is>
      </c>
      <c r="C15" s="5" t="n"/>
      <c r="D15" s="11">
        <f>D6*60</f>
        <v/>
      </c>
    </row>
    <row r="16">
      <c r="B16" s="10" t="inlineStr">
        <is>
          <t>Razao  r = a / b</t>
        </is>
      </c>
      <c r="C16" s="5" t="n"/>
      <c r="D16" s="12">
        <f>D8/D9</f>
        <v/>
      </c>
    </row>
    <row r="17">
      <c r="B17" s="10" t="inlineStr">
        <is>
          <t>Fator de soma  S = (r^N - 1)/(r - 1)</t>
        </is>
      </c>
      <c r="C17" s="5" t="n"/>
      <c r="D17" s="13">
        <f>IF(D16=1,D7,(D16^D7-1)/(D16-1))</f>
        <v/>
      </c>
    </row>
    <row r="18">
      <c r="B18" s="14" t="inlineStr">
        <is>
          <t>Custo base derivado  C0 = T*P0 / S</t>
        </is>
      </c>
      <c r="C18" s="5" t="n"/>
      <c r="D18" s="15">
        <f>D15*D10/D17</f>
        <v/>
      </c>
    </row>
    <row r="21">
      <c r="B21" s="2" t="inlineStr">
        <is>
          <t>Formula-assinatura:  tempo_para_zerar = (C0 / P0) x (r^N - 1)/(r - 1),  com r = a/b  -&gt;  invertida para achar C0 a partir do tempo-alvo.</t>
        </is>
      </c>
    </row>
    <row r="24">
      <c r="B24" s="3" t="inlineStr">
        <is>
          <t>CURVA POR ESTAGIO</t>
        </is>
      </c>
    </row>
    <row r="25">
      <c r="B25" s="16" t="inlineStr">
        <is>
          <t>#</t>
        </is>
      </c>
      <c r="C25" s="16" t="inlineStr">
        <is>
          <t>Estagio</t>
        </is>
      </c>
      <c r="D25" s="16" t="inlineStr">
        <is>
          <t>Custo (carinhos)</t>
        </is>
      </c>
      <c r="E25" s="16" t="inlineStr">
        <is>
          <t>Producao (carinhos/s)</t>
        </is>
      </c>
      <c r="F25" s="16" t="inlineStr">
        <is>
          <t>Tempo do estagio (s)</t>
        </is>
      </c>
      <c r="G25" s="16" t="inlineStr">
        <is>
          <t>Tempo (min)</t>
        </is>
      </c>
      <c r="H25" s="16" t="inlineStr">
        <is>
          <t>Acumulado (min)</t>
        </is>
      </c>
      <c r="I25" s="16" t="inlineStr">
        <is>
          <t>% da run</t>
        </is>
      </c>
      <c r="J25" s="16" t="inlineStr">
        <is>
          <t>Cliques equiv.</t>
        </is>
      </c>
    </row>
    <row r="26">
      <c r="B26" s="17" t="n">
        <v>1</v>
      </c>
      <c r="C26" s="18" t="inlineStr">
        <is>
          <t>Vira-lata</t>
        </is>
      </c>
      <c r="D26" s="19">
        <f>IF(B26&lt;=$D$7,$D$18*$D$8^(B26-1),"")</f>
        <v/>
      </c>
      <c r="E26" s="20">
        <f>IF(B26&lt;=$D$7,$D$10*$D$9^(B26-1),"")</f>
        <v/>
      </c>
      <c r="F26" s="19">
        <f>IF(B26&lt;=$D$7,D26/E26,"")</f>
        <v/>
      </c>
      <c r="G26" s="21">
        <f>IF(B26&lt;=$D$7,F26/60,"")</f>
        <v/>
      </c>
      <c r="H26" s="21">
        <f>IF(B26&lt;=$D$7,SUM($F$26:F26)/60,"")</f>
        <v/>
      </c>
      <c r="I26" s="22">
        <f>IF(B26&lt;=$D$7,F26/$D$15,"")</f>
        <v/>
      </c>
      <c r="J26" s="19">
        <f>IF(B26&lt;=$D$7,D26/$D$11,"")</f>
        <v/>
      </c>
    </row>
    <row r="27">
      <c r="B27" s="17" t="n">
        <v>2</v>
      </c>
      <c r="C27" s="18" t="inlineStr">
        <is>
          <t>Filhote</t>
        </is>
      </c>
      <c r="D27" s="19">
        <f>IF(B27&lt;=$D$7,$D$18*$D$8^(B27-1),"")</f>
        <v/>
      </c>
      <c r="E27" s="20">
        <f>IF(B27&lt;=$D$7,$D$10*$D$9^(B27-1),"")</f>
        <v/>
      </c>
      <c r="F27" s="19">
        <f>IF(B27&lt;=$D$7,D27/E27,"")</f>
        <v/>
      </c>
      <c r="G27" s="21">
        <f>IF(B27&lt;=$D$7,F27/60,"")</f>
        <v/>
      </c>
      <c r="H27" s="21">
        <f>IF(B27&lt;=$D$7,SUM($F$26:F27)/60,"")</f>
        <v/>
      </c>
      <c r="I27" s="22">
        <f>IF(B27&lt;=$D$7,F27/$D$15,"")</f>
        <v/>
      </c>
      <c r="J27" s="19">
        <f>IF(B27&lt;=$D$7,D27/$D$11,"")</f>
        <v/>
      </c>
    </row>
    <row r="28">
      <c r="B28" s="17" t="n">
        <v>3</v>
      </c>
      <c r="C28" s="18" t="inlineStr">
        <is>
          <t>Bom Cachorro</t>
        </is>
      </c>
      <c r="D28" s="19">
        <f>IF(B28&lt;=$D$7,$D$18*$D$8^(B28-1),"")</f>
        <v/>
      </c>
      <c r="E28" s="20">
        <f>IF(B28&lt;=$D$7,$D$10*$D$9^(B28-1),"")</f>
        <v/>
      </c>
      <c r="F28" s="19">
        <f>IF(B28&lt;=$D$7,D28/E28,"")</f>
        <v/>
      </c>
      <c r="G28" s="21">
        <f>IF(B28&lt;=$D$7,F28/60,"")</f>
        <v/>
      </c>
      <c r="H28" s="21">
        <f>IF(B28&lt;=$D$7,SUM($F$26:F28)/60,"")</f>
        <v/>
      </c>
      <c r="I28" s="22">
        <f>IF(B28&lt;=$D$7,F28/$D$15,"")</f>
        <v/>
      </c>
      <c r="J28" s="19">
        <f>IF(B28&lt;=$D$7,D28/$D$11,"")</f>
        <v/>
      </c>
    </row>
    <row r="29">
      <c r="B29" s="17" t="n">
        <v>4</v>
      </c>
      <c r="C29" s="18" t="inlineStr">
        <is>
          <t>Cachorro Adestrado</t>
        </is>
      </c>
      <c r="D29" s="19">
        <f>IF(B29&lt;=$D$7,$D$18*$D$8^(B29-1),"")</f>
        <v/>
      </c>
      <c r="E29" s="20">
        <f>IF(B29&lt;=$D$7,$D$10*$D$9^(B29-1),"")</f>
        <v/>
      </c>
      <c r="F29" s="19">
        <f>IF(B29&lt;=$D$7,D29/E29,"")</f>
        <v/>
      </c>
      <c r="G29" s="21">
        <f>IF(B29&lt;=$D$7,F29/60,"")</f>
        <v/>
      </c>
      <c r="H29" s="21">
        <f>IF(B29&lt;=$D$7,SUM($F$26:F29)/60,"")</f>
        <v/>
      </c>
      <c r="I29" s="22">
        <f>IF(B29&lt;=$D$7,F29/$D$15,"")</f>
        <v/>
      </c>
      <c r="J29" s="19">
        <f>IF(B29&lt;=$D$7,D29/$D$11,"")</f>
        <v/>
      </c>
    </row>
    <row r="30">
      <c r="B30" s="17" t="n">
        <v>5</v>
      </c>
      <c r="C30" s="18" t="inlineStr">
        <is>
          <t>Cachorro Premiado</t>
        </is>
      </c>
      <c r="D30" s="19">
        <f>IF(B30&lt;=$D$7,$D$18*$D$8^(B30-1),"")</f>
        <v/>
      </c>
      <c r="E30" s="20">
        <f>IF(B30&lt;=$D$7,$D$10*$D$9^(B30-1),"")</f>
        <v/>
      </c>
      <c r="F30" s="19">
        <f>IF(B30&lt;=$D$7,D30/E30,"")</f>
        <v/>
      </c>
      <c r="G30" s="21">
        <f>IF(B30&lt;=$D$7,F30/60,"")</f>
        <v/>
      </c>
      <c r="H30" s="21">
        <f>IF(B30&lt;=$D$7,SUM($F$26:F30)/60,"")</f>
        <v/>
      </c>
      <c r="I30" s="22">
        <f>IF(B30&lt;=$D$7,F30/$D$15,"")</f>
        <v/>
      </c>
      <c r="J30" s="19">
        <f>IF(B30&lt;=$D$7,D30/$D$11,"")</f>
        <v/>
      </c>
    </row>
    <row r="31">
      <c r="B31" s="17" t="n">
        <v>6</v>
      </c>
      <c r="C31" s="18" t="inlineStr">
        <is>
          <t>Cao-Guia</t>
        </is>
      </c>
      <c r="D31" s="19">
        <f>IF(B31&lt;=$D$7,$D$18*$D$8^(B31-1),"")</f>
        <v/>
      </c>
      <c r="E31" s="20">
        <f>IF(B31&lt;=$D$7,$D$10*$D$9^(B31-1),"")</f>
        <v/>
      </c>
      <c r="F31" s="19">
        <f>IF(B31&lt;=$D$7,D31/E31,"")</f>
        <v/>
      </c>
      <c r="G31" s="21">
        <f>IF(B31&lt;=$D$7,F31/60,"")</f>
        <v/>
      </c>
      <c r="H31" s="21">
        <f>IF(B31&lt;=$D$7,SUM($F$26:F31)/60,"")</f>
        <v/>
      </c>
      <c r="I31" s="22">
        <f>IF(B31&lt;=$D$7,F31/$D$15,"")</f>
        <v/>
      </c>
      <c r="J31" s="19">
        <f>IF(B31&lt;=$D$7,D31/$D$11,"")</f>
        <v/>
      </c>
    </row>
    <row r="32">
      <c r="B32" s="17" t="n">
        <v>7</v>
      </c>
      <c r="C32" s="18" t="inlineStr">
        <is>
          <t>Cao Heroi</t>
        </is>
      </c>
      <c r="D32" s="19">
        <f>IF(B32&lt;=$D$7,$D$18*$D$8^(B32-1),"")</f>
        <v/>
      </c>
      <c r="E32" s="20">
        <f>IF(B32&lt;=$D$7,$D$10*$D$9^(B32-1),"")</f>
        <v/>
      </c>
      <c r="F32" s="19">
        <f>IF(B32&lt;=$D$7,D32/E32,"")</f>
        <v/>
      </c>
      <c r="G32" s="21">
        <f>IF(B32&lt;=$D$7,F32/60,"")</f>
        <v/>
      </c>
      <c r="H32" s="21">
        <f>IF(B32&lt;=$D$7,SUM($F$26:F32)/60,"")</f>
        <v/>
      </c>
      <c r="I32" s="22">
        <f>IF(B32&lt;=$D$7,F32/$D$15,"")</f>
        <v/>
      </c>
      <c r="J32" s="19">
        <f>IF(B32&lt;=$D$7,D32/$D$11,"")</f>
        <v/>
      </c>
    </row>
    <row r="33">
      <c r="B33" s="17" t="n">
        <v>8</v>
      </c>
      <c r="C33" s="18" t="inlineStr">
        <is>
          <t>Cachorro Famoso</t>
        </is>
      </c>
      <c r="D33" s="19">
        <f>IF(B33&lt;=$D$7,$D$18*$D$8^(B33-1),"")</f>
        <v/>
      </c>
      <c r="E33" s="20">
        <f>IF(B33&lt;=$D$7,$D$10*$D$9^(B33-1),"")</f>
        <v/>
      </c>
      <c r="F33" s="19">
        <f>IF(B33&lt;=$D$7,D33/E33,"")</f>
        <v/>
      </c>
      <c r="G33" s="21">
        <f>IF(B33&lt;=$D$7,F33/60,"")</f>
        <v/>
      </c>
      <c r="H33" s="21">
        <f>IF(B33&lt;=$D$7,SUM($F$26:F33)/60,"")</f>
        <v/>
      </c>
      <c r="I33" s="22">
        <f>IF(B33&lt;=$D$7,F33/$D$15,"")</f>
        <v/>
      </c>
      <c r="J33" s="19">
        <f>IF(B33&lt;=$D$7,D33/$D$11,"")</f>
        <v/>
      </c>
    </row>
    <row r="34">
      <c r="B34" s="17" t="n">
        <v>9</v>
      </c>
      <c r="C34" s="18" t="inlineStr">
        <is>
          <t>Astro da Internet</t>
        </is>
      </c>
      <c r="D34" s="19">
        <f>IF(B34&lt;=$D$7,$D$18*$D$8^(B34-1),"")</f>
        <v/>
      </c>
      <c r="E34" s="20">
        <f>IF(B34&lt;=$D$7,$D$10*$D$9^(B34-1),"")</f>
        <v/>
      </c>
      <c r="F34" s="19">
        <f>IF(B34&lt;=$D$7,D34/E34,"")</f>
        <v/>
      </c>
      <c r="G34" s="21">
        <f>IF(B34&lt;=$D$7,F34/60,"")</f>
        <v/>
      </c>
      <c r="H34" s="21">
        <f>IF(B34&lt;=$D$7,SUM($F$26:F34)/60,"")</f>
        <v/>
      </c>
      <c r="I34" s="22">
        <f>IF(B34&lt;=$D$7,F34/$D$15,"")</f>
        <v/>
      </c>
      <c r="J34" s="19">
        <f>IF(B34&lt;=$D$7,D34/$D$11,"")</f>
        <v/>
      </c>
    </row>
    <row r="35">
      <c r="B35" s="17" t="n">
        <v>10</v>
      </c>
      <c r="C35" s="18" t="inlineStr">
        <is>
          <t>Cao Prefeito</t>
        </is>
      </c>
      <c r="D35" s="19">
        <f>IF(B35&lt;=$D$7,$D$18*$D$8^(B35-1),"")</f>
        <v/>
      </c>
      <c r="E35" s="20">
        <f>IF(B35&lt;=$D$7,$D$10*$D$9^(B35-1),"")</f>
        <v/>
      </c>
      <c r="F35" s="19">
        <f>IF(B35&lt;=$D$7,D35/E35,"")</f>
        <v/>
      </c>
      <c r="G35" s="21">
        <f>IF(B35&lt;=$D$7,F35/60,"")</f>
        <v/>
      </c>
      <c r="H35" s="21">
        <f>IF(B35&lt;=$D$7,SUM($F$26:F35)/60,"")</f>
        <v/>
      </c>
      <c r="I35" s="22">
        <f>IF(B35&lt;=$D$7,F35/$D$15,"")</f>
        <v/>
      </c>
      <c r="J35" s="19">
        <f>IF(B35&lt;=$D$7,D35/$D$11,"")</f>
        <v/>
      </c>
    </row>
    <row r="36">
      <c r="B36" s="17" t="n">
        <v>11</v>
      </c>
      <c r="C36" s="18" t="inlineStr">
        <is>
          <t>Cao Astronauta</t>
        </is>
      </c>
      <c r="D36" s="19">
        <f>IF(B36&lt;=$D$7,$D$18*$D$8^(B36-1),"")</f>
        <v/>
      </c>
      <c r="E36" s="20">
        <f>IF(B36&lt;=$D$7,$D$10*$D$9^(B36-1),"")</f>
        <v/>
      </c>
      <c r="F36" s="19">
        <f>IF(B36&lt;=$D$7,D36/E36,"")</f>
        <v/>
      </c>
      <c r="G36" s="21">
        <f>IF(B36&lt;=$D$7,F36/60,"")</f>
        <v/>
      </c>
      <c r="H36" s="21">
        <f>IF(B36&lt;=$D$7,SUM($F$26:F36)/60,"")</f>
        <v/>
      </c>
      <c r="I36" s="22">
        <f>IF(B36&lt;=$D$7,F36/$D$15,"")</f>
        <v/>
      </c>
      <c r="J36" s="19">
        <f>IF(B36&lt;=$D$7,D36/$D$11,"")</f>
        <v/>
      </c>
    </row>
    <row r="37">
      <c r="B37" s="17" t="n">
        <v>12</v>
      </c>
      <c r="C37" s="18" t="inlineStr">
        <is>
          <t>Melhor Cachorro do Mundo</t>
        </is>
      </c>
      <c r="D37" s="19">
        <f>IF(B37&lt;=$D$7,$D$18*$D$8^(B37-1),"")</f>
        <v/>
      </c>
      <c r="E37" s="20">
        <f>IF(B37&lt;=$D$7,$D$10*$D$9^(B37-1),"")</f>
        <v/>
      </c>
      <c r="F37" s="19">
        <f>IF(B37&lt;=$D$7,D37/E37,"")</f>
        <v/>
      </c>
      <c r="G37" s="21">
        <f>IF(B37&lt;=$D$7,F37/60,"")</f>
        <v/>
      </c>
      <c r="H37" s="21">
        <f>IF(B37&lt;=$D$7,SUM($F$26:F37)/60,"")</f>
        <v/>
      </c>
      <c r="I37" s="22">
        <f>IF(B37&lt;=$D$7,F37/$D$15,"")</f>
        <v/>
      </c>
      <c r="J37" s="19">
        <f>IF(B37&lt;=$D$7,D37/$D$11,"")</f>
        <v/>
      </c>
    </row>
    <row r="38">
      <c r="B38" s="23" t="inlineStr">
        <is>
          <t>TOTAL</t>
        </is>
      </c>
      <c r="C38" s="24" t="inlineStr">
        <is>
          <t>soma dos tempos</t>
        </is>
      </c>
      <c r="D38" s="25" t="n"/>
      <c r="E38" s="25" t="n"/>
      <c r="F38" s="26">
        <f>SUM(F26:F37)</f>
        <v/>
      </c>
      <c r="G38" s="27">
        <f>SUM(G26:G37)</f>
        <v/>
      </c>
      <c r="H38" s="23" t="inlineStr">
        <is>
          <t>min</t>
        </is>
      </c>
      <c r="I38" s="28">
        <f>SUM(I26:I37)</f>
        <v/>
      </c>
      <c r="J38" s="25" t="n"/>
    </row>
    <row r="40">
      <c r="B40" s="29" t="inlineStr">
        <is>
          <t>Checagem  (soma dos tempos deve bater com o tempo-alvo):</t>
        </is>
      </c>
      <c r="G40" s="30">
        <f>IF(ABS(G38-$D$6)&lt;0.01,"OK","ERRO")</f>
        <v/>
      </c>
    </row>
  </sheetData>
  <mergeCells count="14">
    <mergeCell ref="B6:C6"/>
    <mergeCell ref="B24:J24"/>
    <mergeCell ref="B5:D5"/>
    <mergeCell ref="B14:D14"/>
    <mergeCell ref="B15:C15"/>
    <mergeCell ref="B7:C7"/>
    <mergeCell ref="B11:C11"/>
    <mergeCell ref="B16:C16"/>
    <mergeCell ref="B10:C10"/>
    <mergeCell ref="B17:C17"/>
    <mergeCell ref="B9:C9"/>
    <mergeCell ref="B8:C8"/>
    <mergeCell ref="B40:F40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31" t="inlineStr">
        <is>
          <t>ClicaChorro — como a planilha balanceia sozinha</t>
        </is>
      </c>
    </row>
    <row r="3">
      <c r="B3" s="32" t="inlineStr"/>
    </row>
    <row r="4">
      <c r="B4" s="32" t="inlineStr">
        <is>
          <t>1. O designer define UMA coisa: quanto tempo o jogo deve levar para ser zerado (celula D6).</t>
        </is>
      </c>
    </row>
    <row r="5">
      <c r="B5" s="32" t="inlineStr">
        <is>
          <t>2. A economia toda (custos e producao por estagio) e derivada desse alvo — nao escolhida na mao.</t>
        </is>
      </c>
    </row>
    <row r="6">
      <c r="B6" s="32" t="inlineStr"/>
    </row>
    <row r="7">
      <c r="B7" s="33" t="inlineStr">
        <is>
          <t>Modelo:</t>
        </is>
      </c>
    </row>
    <row r="8">
      <c r="B8" s="32" t="inlineStr">
        <is>
          <t xml:space="preserve">   Custo de cada estagio:      C_i = C0 * a^i</t>
        </is>
      </c>
    </row>
    <row r="9">
      <c r="B9" s="32" t="inlineStr">
        <is>
          <t xml:space="preserve">   Producao em cada estagio:   P_i = P0 * b^i</t>
        </is>
      </c>
    </row>
    <row r="10">
      <c r="B10" s="32" t="inlineStr">
        <is>
          <t xml:space="preserve">   Tempo gasto no estagio i:   t_i = C_i / P_i = (C0/P0) * (a/b)^i</t>
        </is>
      </c>
    </row>
    <row r="11">
      <c r="B11" s="32" t="inlineStr"/>
    </row>
    <row r="12">
      <c r="B12" s="32" t="inlineStr">
        <is>
          <t>Somando t_i de 0 a N-1 (serie geometrica de razao r = a/b):</t>
        </is>
      </c>
    </row>
    <row r="13">
      <c r="B13" s="33" t="inlineStr">
        <is>
          <t xml:space="preserve">   tempo_para_zerar = (C0/P0) * (r^N - 1)/(r - 1)</t>
        </is>
      </c>
    </row>
    <row r="14">
      <c r="B14" s="32" t="inlineStr"/>
    </row>
    <row r="15">
      <c r="B15" s="32" t="inlineStr">
        <is>
          <t>Invertendo para o custo base, o alvo de tempo passa a COMANDAR a economia:</t>
        </is>
      </c>
    </row>
    <row r="16">
      <c r="B16" s="33" t="inlineStr">
        <is>
          <t xml:space="preserve">   C0 = tempo_alvo * P0 * (r - 1) / (r^N - 1)</t>
        </is>
      </c>
    </row>
    <row r="17">
      <c r="B17" s="32" t="inlineStr"/>
    </row>
    <row r="18">
      <c r="B18" s="32" t="inlineStr">
        <is>
          <t>Por isso mudar D6 (ou N, a, b, P0) rebalanceia a curva inteira e a soma dos tempos volta a bater com o alvo.</t>
        </is>
      </c>
    </row>
    <row r="19">
      <c r="B19" s="32" t="inlineStr">
        <is>
          <t>Como r = a/b &gt; 1, os estagios finais custam progressivamente mais tempo — a run cresce em direcao a um climax, sem virar uma parede.</t>
        </is>
      </c>
    </row>
    <row r="20">
      <c r="B20" s="32" t="inlineStr"/>
    </row>
    <row r="21">
      <c r="B21" s="34" t="inlineStr">
        <is>
          <t>Azul = input editavel.  Preto = formula.  Nunca digite um numero preto na mao.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2026-07-03T20:39:15Z</dcterms:created>
  <dcterms:modified xsi:type="dcterms:W3CDTF">2026-07-03T20:39:15Z</dcterms:modified>
</cp:coreProperties>
</file>