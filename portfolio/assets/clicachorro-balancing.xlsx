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lancing" sheetId="1" state="visible" r:id="rId1"/>
    <sheet name="How it works" sheetId="2" state="visible" r:id="rId2"/>
  </sheets>
  <definedNames/>
  <calcPr calcId="124519" fullCalcOnLoad="1"/>
</workbook>
</file>

<file path=xl/styles.xml><?xml version="1.0" encoding="utf-8"?>
<styleSheet xmlns="http://schemas.openxmlformats.org/spreadsheetml/2006/main">
  <numFmts count="5">
    <numFmt numFmtId="164" formatCode="0.0"/>
    <numFmt numFmtId="165" formatCode="0.00000"/>
    <numFmt numFmtId="166" formatCode="0.000"/>
    <numFmt numFmtId="167" formatCode="#,##0.0"/>
    <numFmt numFmtId="168" formatCode="0.0%"/>
  </numFmts>
  <fonts count="13">
    <font>
      <name val="Calibri"/>
      <family val="2"/>
      <color theme="1"/>
      <sz val="11"/>
      <scheme val="minor"/>
    </font>
    <font>
      <name val="Calibri"/>
      <b val="1"/>
      <color rgb="000F1B3C"/>
      <sz val="16"/>
    </font>
    <font>
      <name val="Calibri"/>
      <i val="1"/>
      <color rgb="00555555"/>
      <sz val="10"/>
    </font>
    <font>
      <name val="Calibri"/>
      <b val="1"/>
      <color rgb="00F5F1E8"/>
      <sz val="11"/>
    </font>
    <font>
      <name val="Calibri"/>
      <b val="1"/>
      <color rgb="00111111"/>
      <sz val="11"/>
    </font>
    <font>
      <name val="Calibri"/>
      <i val="1"/>
      <color rgb="00777777"/>
      <sz val="10"/>
    </font>
    <font>
      <name val="Calibri"/>
      <b val="1"/>
      <color rgb="001F5FBF"/>
      <sz val="11"/>
    </font>
    <font>
      <name val="Calibri"/>
      <color rgb="00111111"/>
      <sz val="11"/>
    </font>
    <font>
      <name val="Calibri"/>
      <b val="1"/>
      <color rgb="00F5F1E8"/>
      <sz val="10"/>
    </font>
    <font>
      <name val="Calibri"/>
      <b val="1"/>
      <color rgb="001B7A3D"/>
      <sz val="11"/>
    </font>
    <font>
      <name val="Calibri"/>
      <b val="1"/>
      <color rgb="001F5FBF"/>
      <sz val="12"/>
    </font>
    <font>
      <name val="Consolas"/>
      <color rgb="001F5FBF"/>
      <sz val="11"/>
    </font>
    <font>
      <name val="Calibri"/>
      <b val="1"/>
      <color rgb="008A2049"/>
      <sz val="11"/>
    </font>
  </fonts>
  <fills count="6">
    <fill>
      <patternFill/>
    </fill>
    <fill>
      <patternFill patternType="gray125"/>
    </fill>
    <fill>
      <patternFill patternType="solid">
        <fgColor rgb="000F1B3C"/>
      </patternFill>
    </fill>
    <fill>
      <patternFill patternType="solid">
        <fgColor rgb="00E8F0FC"/>
      </patternFill>
    </fill>
    <fill>
      <patternFill patternType="solid">
        <fgColor rgb="00FFC400"/>
      </patternFill>
    </fill>
    <fill>
      <patternFill patternType="solid">
        <fgColor rgb="0024365F"/>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0" borderId="0" pivotButton="0" quotePrefix="0" xfId="0"/>
    <xf numFmtId="1" fontId="6" fillId="3" borderId="1" pivotButton="0" quotePrefix="0" xfId="0"/>
    <xf numFmtId="2" fontId="6" fillId="3" borderId="1" pivotButton="0" quotePrefix="0" xfId="0"/>
    <xf numFmtId="164" fontId="6" fillId="3" borderId="1" pivotButton="0" quotePrefix="0" xfId="0"/>
    <xf numFmtId="1" fontId="7" fillId="0" borderId="1" pivotButton="0" quotePrefix="0" xfId="0"/>
    <xf numFmtId="165" fontId="7" fillId="0" borderId="1" pivotButton="0" quotePrefix="0" xfId="0"/>
    <xf numFmtId="166" fontId="7" fillId="0" borderId="1" pivotButton="0" quotePrefix="0" xfId="0"/>
    <xf numFmtId="164" fontId="7" fillId="4" borderId="1" pivotButton="0" quotePrefix="0" xfId="0"/>
    <xf numFmtId="0" fontId="8" fillId="5" borderId="1" applyAlignment="1" pivotButton="0" quotePrefix="0" xfId="0">
      <alignment vertical="center" wrapText="1"/>
    </xf>
    <xf numFmtId="0" fontId="7" fillId="0" borderId="1" pivotButton="0" quotePrefix="0" xfId="0"/>
    <xf numFmtId="3" fontId="7" fillId="0" borderId="1" pivotButton="0" quotePrefix="0" xfId="0"/>
    <xf numFmtId="167" fontId="7" fillId="0" borderId="1" pivotButton="0" quotePrefix="0" xfId="0"/>
    <xf numFmtId="2" fontId="7" fillId="0" borderId="1" pivotButton="0" quotePrefix="0" xfId="0"/>
    <xf numFmtId="168" fontId="7" fillId="0" borderId="1" pivotButton="0" quotePrefix="0" xfId="0"/>
    <xf numFmtId="3" fontId="4" fillId="0" borderId="1" pivotButton="0" quotePrefix="0" xfId="0"/>
    <xf numFmtId="2" fontId="4" fillId="4" borderId="1" pivotButton="0" quotePrefix="0" xfId="0"/>
    <xf numFmtId="168" fontId="4" fillId="0" borderId="1" pivotButton="0" quotePrefix="0" xfId="0"/>
    <xf numFmtId="0" fontId="9" fillId="0" borderId="0" pivotButton="0" quotePrefix="0" xfId="0"/>
    <xf numFmtId="0" fontId="1" fillId="0" borderId="0" applyAlignment="1" pivotButton="0" quotePrefix="0" xfId="0">
      <alignment vertical="top"/>
    </xf>
    <xf numFmtId="0" fontId="0" fillId="0" borderId="0" applyAlignment="1" pivotButton="0" quotePrefix="0" xfId="0">
      <alignment vertical="top"/>
    </xf>
    <xf numFmtId="0" fontId="10" fillId="0" borderId="0" applyAlignment="1" pivotButton="0" quotePrefix="0" xfId="0">
      <alignment vertical="top"/>
    </xf>
    <xf numFmtId="0" fontId="7" fillId="0" borderId="0" applyAlignment="1" pivotButton="0" quotePrefix="0" xfId="0">
      <alignment vertical="top" wrapText="1"/>
    </xf>
    <xf numFmtId="0" fontId="11" fillId="0" borderId="0" applyAlignment="1" pivotButton="0" quotePrefix="0" xfId="0">
      <alignment vertical="top"/>
    </xf>
    <xf numFmtId="0" fontId="1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J39"/>
  <sheetViews>
    <sheetView showGridLines="0" workbookViewId="0">
      <selection activeCell="A1" sqref="A1"/>
    </sheetView>
  </sheetViews>
  <sheetFormatPr baseColWidth="8" defaultRowHeight="15"/>
  <cols>
    <col width="34" customWidth="1" min="2" max="2"/>
    <col width="34" customWidth="1" min="3" max="3"/>
    <col width="18" customWidth="1" min="4" max="4"/>
    <col width="16" customWidth="1" min="5" max="5"/>
    <col width="18" customWidth="1" min="6" max="6"/>
    <col width="16" customWidth="1" min="7" max="7"/>
    <col width="17" customWidth="1" min="8" max="8"/>
    <col width="12" customWidth="1" min="9" max="9"/>
    <col width="15" customWidth="1" min="10" max="10"/>
  </cols>
  <sheetData>
    <row r="2">
      <c r="B2" s="1" t="inlineStr">
        <is>
          <t>ClicaChorro — Balancing Sheet / Planilha de Balanceamento</t>
        </is>
      </c>
    </row>
    <row r="3">
      <c r="B3" s="2" t="inlineStr">
        <is>
          <t>The economy is derived from one number: how long the run should take. Edit the blue cells and the whole curve rebalances.</t>
        </is>
      </c>
    </row>
    <row r="4">
      <c r="B4" s="2" t="inlineStr">
        <is>
          <t>A economia é derivada de um número: quanto tempo a run deve durar. Edite as células azuis e a curva inteira se rebalanceia.</t>
        </is>
      </c>
    </row>
    <row r="6">
      <c r="B6" s="3" t="inlineStr">
        <is>
          <t>INPUTS — edit the blue cells   ·   INPUTS — edite as células azuis</t>
        </is>
      </c>
    </row>
    <row r="7">
      <c r="B7" s="4" t="inlineStr">
        <is>
          <t>Target time to beat (min)</t>
        </is>
      </c>
      <c r="C7" s="5" t="inlineStr">
        <is>
          <t>Tempo-alvo para zerar (min)</t>
        </is>
      </c>
      <c r="D7" s="6" t="n">
        <v>45</v>
      </c>
    </row>
    <row r="8">
      <c r="B8" s="4" t="inlineStr">
        <is>
          <t>Stages to completion (N)</t>
        </is>
      </c>
      <c r="C8" s="5" t="inlineStr">
        <is>
          <t>Estágios até zerar (N)</t>
        </is>
      </c>
      <c r="D8" s="6" t="n">
        <v>12</v>
      </c>
    </row>
    <row r="9">
      <c r="B9" s="4" t="inlineStr">
        <is>
          <t>Cost growth per stage (a)</t>
        </is>
      </c>
      <c r="C9" s="5" t="inlineStr">
        <is>
          <t>Crescimento de custo por estágio (a)</t>
        </is>
      </c>
      <c r="D9" s="7" t="n">
        <v>1.6</v>
      </c>
    </row>
    <row r="10">
      <c r="B10" s="4" t="inlineStr">
        <is>
          <t>Output growth per stage (b)</t>
        </is>
      </c>
      <c r="C10" s="5" t="inlineStr">
        <is>
          <t>Crescimento de produção por estágio (b)</t>
        </is>
      </c>
      <c r="D10" s="7" t="n">
        <v>1.45</v>
      </c>
    </row>
    <row r="11">
      <c r="B11" s="4" t="inlineStr">
        <is>
          <t>Base idle output P0 (affection/s)</t>
        </is>
      </c>
      <c r="C11" s="5" t="inlineStr">
        <is>
          <t>Produção base P0 (carinhos/s)</t>
        </is>
      </c>
      <c r="D11" s="8" t="n">
        <v>5</v>
      </c>
    </row>
    <row r="12">
      <c r="B12" s="4" t="inlineStr">
        <is>
          <t>Affection per click (base)</t>
        </is>
      </c>
      <c r="C12" s="5" t="inlineStr">
        <is>
          <t>Carinhos por clique (base)</t>
        </is>
      </c>
      <c r="D12" s="8" t="n">
        <v>1</v>
      </c>
    </row>
    <row r="14">
      <c r="B14" s="3" t="inlineStr">
        <is>
          <t>DERIVED VALUES — formulas, never type over these   ·   VALORES DERIVADOS — fórmulas, nunca digite por cima</t>
        </is>
      </c>
    </row>
    <row r="15">
      <c r="B15" s="4" t="inlineStr">
        <is>
          <t>Target time (seconds)  T</t>
        </is>
      </c>
      <c r="C15" s="5" t="inlineStr">
        <is>
          <t>Tempo-alvo (segundos)  T</t>
        </is>
      </c>
      <c r="D15" s="9">
        <f>D7*60</f>
        <v/>
      </c>
    </row>
    <row r="16">
      <c r="B16" s="4" t="inlineStr">
        <is>
          <t>Ratio  r = a / b</t>
        </is>
      </c>
      <c r="C16" s="5" t="inlineStr">
        <is>
          <t>Razão  r = a / b</t>
        </is>
      </c>
      <c r="D16" s="10">
        <f>D9/D10</f>
        <v/>
      </c>
    </row>
    <row r="17">
      <c r="B17" s="4" t="inlineStr">
        <is>
          <t>Sum factor  S = (r^N − 1)/(r − 1)</t>
        </is>
      </c>
      <c r="C17" s="5" t="inlineStr">
        <is>
          <t>Fator de soma  S = (r^N − 1)/(r − 1)</t>
        </is>
      </c>
      <c r="D17" s="11">
        <f>IF(D16=1,D8,(D16^D8-1)/(D16-1))</f>
        <v/>
      </c>
    </row>
    <row r="18">
      <c r="B18" s="4" t="inlineStr">
        <is>
          <t>Derived base cost  C0 = T·P0 / S</t>
        </is>
      </c>
      <c r="C18" s="5" t="inlineStr">
        <is>
          <t>Custo base derivado  C0 = T·P0 / S</t>
        </is>
      </c>
      <c r="D18" s="12">
        <f>D15*D11/D17</f>
        <v/>
      </c>
    </row>
    <row r="20">
      <c r="B20" s="2" t="inlineStr">
        <is>
          <t>Signature formula:  time_to_beat = (C0 / P0) × (r^N − 1)/(r − 1),  r = a/b  →  inverted to solve C0 from the target time.</t>
        </is>
      </c>
    </row>
    <row r="21">
      <c r="B21" s="2" t="inlineStr">
        <is>
          <t>Fórmula-assinatura:  tempo_para_zerar = (C0 / P0) × (r^N − 1)/(r − 1),  r = a/b  →  invertida para achar C0 a partir do tempo-alvo.</t>
        </is>
      </c>
    </row>
    <row r="23">
      <c r="B23" s="3" t="inlineStr">
        <is>
          <t>CURVE BY STAGE   ·   CURVA POR ESTÁGIO</t>
        </is>
      </c>
    </row>
    <row r="24" ht="32" customHeight="1">
      <c r="B24" s="13" t="inlineStr">
        <is>
          <t>#</t>
        </is>
      </c>
      <c r="C24" s="13" t="inlineStr">
        <is>
          <t>Stage / Estágio</t>
        </is>
      </c>
      <c r="D24" s="13" t="inlineStr">
        <is>
          <t>Cost (affection)
Custo (carinhos)</t>
        </is>
      </c>
      <c r="E24" s="13" t="inlineStr">
        <is>
          <t>Idle output /s
Produção /s</t>
        </is>
      </c>
      <c r="F24" s="13" t="inlineStr">
        <is>
          <t>Stage time (s)
Tempo do estágio (s)</t>
        </is>
      </c>
      <c r="G24" s="13" t="inlineStr">
        <is>
          <t>Stage time (min)
Tempo (min)</t>
        </is>
      </c>
      <c r="H24" s="13" t="inlineStr">
        <is>
          <t>Cumulative (min)
Acumulado (min)</t>
        </is>
      </c>
      <c r="I24" s="13" t="inlineStr">
        <is>
          <t>% of run
% da run</t>
        </is>
      </c>
      <c r="J24" s="13" t="inlineStr">
        <is>
          <t>Clicks equiv.
Cliques equiv.</t>
        </is>
      </c>
    </row>
    <row r="25">
      <c r="B25" s="9" t="n">
        <v>1</v>
      </c>
      <c r="C25" s="14" t="inlineStr">
        <is>
          <t>Mutt / Vira-lata</t>
        </is>
      </c>
      <c r="D25" s="15">
        <f>IF(B25&lt;=$D$8,$D$18*$D$9^(B25-1),"")</f>
        <v/>
      </c>
      <c r="E25" s="16">
        <f>IF(B25&lt;=$D$8,$D$11*$D$10^(B25-1),"")</f>
        <v/>
      </c>
      <c r="F25" s="15">
        <f>IF(B25&lt;=$D$8,D25/E25,"")</f>
        <v/>
      </c>
      <c r="G25" s="17">
        <f>IF(B25&lt;=$D$8,F25/60,"")</f>
        <v/>
      </c>
      <c r="H25" s="17">
        <f>IF(B25&lt;=$D$8,SUM($F$25:F25)/60,"")</f>
        <v/>
      </c>
      <c r="I25" s="18">
        <f>IF(B25&lt;=$D$8,F25/$D$15,"")</f>
        <v/>
      </c>
      <c r="J25" s="15">
        <f>IF(B25&lt;=$D$8,D25/$D$12,"")</f>
        <v/>
      </c>
    </row>
    <row r="26">
      <c r="B26" s="9" t="n">
        <v>2</v>
      </c>
      <c r="C26" s="14" t="inlineStr">
        <is>
          <t>Puppy / Filhote</t>
        </is>
      </c>
      <c r="D26" s="15">
        <f>IF(B26&lt;=$D$8,$D$18*$D$9^(B26-1),"")</f>
        <v/>
      </c>
      <c r="E26" s="16">
        <f>IF(B26&lt;=$D$8,$D$11*$D$10^(B26-1),"")</f>
        <v/>
      </c>
      <c r="F26" s="15">
        <f>IF(B26&lt;=$D$8,D26/E26,"")</f>
        <v/>
      </c>
      <c r="G26" s="17">
        <f>IF(B26&lt;=$D$8,F26/60,"")</f>
        <v/>
      </c>
      <c r="H26" s="17">
        <f>IF(B26&lt;=$D$8,SUM($F$25:F26)/60,"")</f>
        <v/>
      </c>
      <c r="I26" s="18">
        <f>IF(B26&lt;=$D$8,F26/$D$15,"")</f>
        <v/>
      </c>
      <c r="J26" s="15">
        <f>IF(B26&lt;=$D$8,D26/$D$12,"")</f>
        <v/>
      </c>
    </row>
    <row r="27">
      <c r="B27" s="9" t="n">
        <v>3</v>
      </c>
      <c r="C27" s="14" t="inlineStr">
        <is>
          <t>Good Dog / Bom Cachorro</t>
        </is>
      </c>
      <c r="D27" s="15">
        <f>IF(B27&lt;=$D$8,$D$18*$D$9^(B27-1),"")</f>
        <v/>
      </c>
      <c r="E27" s="16">
        <f>IF(B27&lt;=$D$8,$D$11*$D$10^(B27-1),"")</f>
        <v/>
      </c>
      <c r="F27" s="15">
        <f>IF(B27&lt;=$D$8,D27/E27,"")</f>
        <v/>
      </c>
      <c r="G27" s="17">
        <f>IF(B27&lt;=$D$8,F27/60,"")</f>
        <v/>
      </c>
      <c r="H27" s="17">
        <f>IF(B27&lt;=$D$8,SUM($F$25:F27)/60,"")</f>
        <v/>
      </c>
      <c r="I27" s="18">
        <f>IF(B27&lt;=$D$8,F27/$D$15,"")</f>
        <v/>
      </c>
      <c r="J27" s="15">
        <f>IF(B27&lt;=$D$8,D27/$D$12,"")</f>
        <v/>
      </c>
    </row>
    <row r="28">
      <c r="B28" s="9" t="n">
        <v>4</v>
      </c>
      <c r="C28" s="14" t="inlineStr">
        <is>
          <t>Trained Dog / Cachorro Adestrado</t>
        </is>
      </c>
      <c r="D28" s="15">
        <f>IF(B28&lt;=$D$8,$D$18*$D$9^(B28-1),"")</f>
        <v/>
      </c>
      <c r="E28" s="16">
        <f>IF(B28&lt;=$D$8,$D$11*$D$10^(B28-1),"")</f>
        <v/>
      </c>
      <c r="F28" s="15">
        <f>IF(B28&lt;=$D$8,D28/E28,"")</f>
        <v/>
      </c>
      <c r="G28" s="17">
        <f>IF(B28&lt;=$D$8,F28/60,"")</f>
        <v/>
      </c>
      <c r="H28" s="17">
        <f>IF(B28&lt;=$D$8,SUM($F$25:F28)/60,"")</f>
        <v/>
      </c>
      <c r="I28" s="18">
        <f>IF(B28&lt;=$D$8,F28/$D$15,"")</f>
        <v/>
      </c>
      <c r="J28" s="15">
        <f>IF(B28&lt;=$D$8,D28/$D$12,"")</f>
        <v/>
      </c>
    </row>
    <row r="29">
      <c r="B29" s="9" t="n">
        <v>5</v>
      </c>
      <c r="C29" s="14" t="inlineStr">
        <is>
          <t>Prize Dog / Cachorro Premiado</t>
        </is>
      </c>
      <c r="D29" s="15">
        <f>IF(B29&lt;=$D$8,$D$18*$D$9^(B29-1),"")</f>
        <v/>
      </c>
      <c r="E29" s="16">
        <f>IF(B29&lt;=$D$8,$D$11*$D$10^(B29-1),"")</f>
        <v/>
      </c>
      <c r="F29" s="15">
        <f>IF(B29&lt;=$D$8,D29/E29,"")</f>
        <v/>
      </c>
      <c r="G29" s="17">
        <f>IF(B29&lt;=$D$8,F29/60,"")</f>
        <v/>
      </c>
      <c r="H29" s="17">
        <f>IF(B29&lt;=$D$8,SUM($F$25:F29)/60,"")</f>
        <v/>
      </c>
      <c r="I29" s="18">
        <f>IF(B29&lt;=$D$8,F29/$D$15,"")</f>
        <v/>
      </c>
      <c r="J29" s="15">
        <f>IF(B29&lt;=$D$8,D29/$D$12,"")</f>
        <v/>
      </c>
    </row>
    <row r="30">
      <c r="B30" s="9" t="n">
        <v>6</v>
      </c>
      <c r="C30" s="14" t="inlineStr">
        <is>
          <t>Guide Dog / Cão-Guia</t>
        </is>
      </c>
      <c r="D30" s="15">
        <f>IF(B30&lt;=$D$8,$D$18*$D$9^(B30-1),"")</f>
        <v/>
      </c>
      <c r="E30" s="16">
        <f>IF(B30&lt;=$D$8,$D$11*$D$10^(B30-1),"")</f>
        <v/>
      </c>
      <c r="F30" s="15">
        <f>IF(B30&lt;=$D$8,D30/E30,"")</f>
        <v/>
      </c>
      <c r="G30" s="17">
        <f>IF(B30&lt;=$D$8,F30/60,"")</f>
        <v/>
      </c>
      <c r="H30" s="17">
        <f>IF(B30&lt;=$D$8,SUM($F$25:F30)/60,"")</f>
        <v/>
      </c>
      <c r="I30" s="18">
        <f>IF(B30&lt;=$D$8,F30/$D$15,"")</f>
        <v/>
      </c>
      <c r="J30" s="15">
        <f>IF(B30&lt;=$D$8,D30/$D$12,"")</f>
        <v/>
      </c>
    </row>
    <row r="31">
      <c r="B31" s="9" t="n">
        <v>7</v>
      </c>
      <c r="C31" s="14" t="inlineStr">
        <is>
          <t>Hero Dog / Cão Herói</t>
        </is>
      </c>
      <c r="D31" s="15">
        <f>IF(B31&lt;=$D$8,$D$18*$D$9^(B31-1),"")</f>
        <v/>
      </c>
      <c r="E31" s="16">
        <f>IF(B31&lt;=$D$8,$D$11*$D$10^(B31-1),"")</f>
        <v/>
      </c>
      <c r="F31" s="15">
        <f>IF(B31&lt;=$D$8,D31/E31,"")</f>
        <v/>
      </c>
      <c r="G31" s="17">
        <f>IF(B31&lt;=$D$8,F31/60,"")</f>
        <v/>
      </c>
      <c r="H31" s="17">
        <f>IF(B31&lt;=$D$8,SUM($F$25:F31)/60,"")</f>
        <v/>
      </c>
      <c r="I31" s="18">
        <f>IF(B31&lt;=$D$8,F31/$D$15,"")</f>
        <v/>
      </c>
      <c r="J31" s="15">
        <f>IF(B31&lt;=$D$8,D31/$D$12,"")</f>
        <v/>
      </c>
    </row>
    <row r="32">
      <c r="B32" s="9" t="n">
        <v>8</v>
      </c>
      <c r="C32" s="14" t="inlineStr">
        <is>
          <t>Famous Dog / Cachorro Famoso</t>
        </is>
      </c>
      <c r="D32" s="15">
        <f>IF(B32&lt;=$D$8,$D$18*$D$9^(B32-1),"")</f>
        <v/>
      </c>
      <c r="E32" s="16">
        <f>IF(B32&lt;=$D$8,$D$11*$D$10^(B32-1),"")</f>
        <v/>
      </c>
      <c r="F32" s="15">
        <f>IF(B32&lt;=$D$8,D32/E32,"")</f>
        <v/>
      </c>
      <c r="G32" s="17">
        <f>IF(B32&lt;=$D$8,F32/60,"")</f>
        <v/>
      </c>
      <c r="H32" s="17">
        <f>IF(B32&lt;=$D$8,SUM($F$25:F32)/60,"")</f>
        <v/>
      </c>
      <c r="I32" s="18">
        <f>IF(B32&lt;=$D$8,F32/$D$15,"")</f>
        <v/>
      </c>
      <c r="J32" s="15">
        <f>IF(B32&lt;=$D$8,D32/$D$12,"")</f>
        <v/>
      </c>
    </row>
    <row r="33">
      <c r="B33" s="9" t="n">
        <v>9</v>
      </c>
      <c r="C33" s="14" t="inlineStr">
        <is>
          <t>Internet Star / Astro da Internet</t>
        </is>
      </c>
      <c r="D33" s="15">
        <f>IF(B33&lt;=$D$8,$D$18*$D$9^(B33-1),"")</f>
        <v/>
      </c>
      <c r="E33" s="16">
        <f>IF(B33&lt;=$D$8,$D$11*$D$10^(B33-1),"")</f>
        <v/>
      </c>
      <c r="F33" s="15">
        <f>IF(B33&lt;=$D$8,D33/E33,"")</f>
        <v/>
      </c>
      <c r="G33" s="17">
        <f>IF(B33&lt;=$D$8,F33/60,"")</f>
        <v/>
      </c>
      <c r="H33" s="17">
        <f>IF(B33&lt;=$D$8,SUM($F$25:F33)/60,"")</f>
        <v/>
      </c>
      <c r="I33" s="18">
        <f>IF(B33&lt;=$D$8,F33/$D$15,"")</f>
        <v/>
      </c>
      <c r="J33" s="15">
        <f>IF(B33&lt;=$D$8,D33/$D$12,"")</f>
        <v/>
      </c>
    </row>
    <row r="34">
      <c r="B34" s="9" t="n">
        <v>10</v>
      </c>
      <c r="C34" s="14" t="inlineStr">
        <is>
          <t>Mayor Dog / Cão Prefeito</t>
        </is>
      </c>
      <c r="D34" s="15">
        <f>IF(B34&lt;=$D$8,$D$18*$D$9^(B34-1),"")</f>
        <v/>
      </c>
      <c r="E34" s="16">
        <f>IF(B34&lt;=$D$8,$D$11*$D$10^(B34-1),"")</f>
        <v/>
      </c>
      <c r="F34" s="15">
        <f>IF(B34&lt;=$D$8,D34/E34,"")</f>
        <v/>
      </c>
      <c r="G34" s="17">
        <f>IF(B34&lt;=$D$8,F34/60,"")</f>
        <v/>
      </c>
      <c r="H34" s="17">
        <f>IF(B34&lt;=$D$8,SUM($F$25:F34)/60,"")</f>
        <v/>
      </c>
      <c r="I34" s="18">
        <f>IF(B34&lt;=$D$8,F34/$D$15,"")</f>
        <v/>
      </c>
      <c r="J34" s="15">
        <f>IF(B34&lt;=$D$8,D34/$D$12,"")</f>
        <v/>
      </c>
    </row>
    <row r="35">
      <c r="B35" s="9" t="n">
        <v>11</v>
      </c>
      <c r="C35" s="14" t="inlineStr">
        <is>
          <t>Astronaut Dog / Cão Astronauta</t>
        </is>
      </c>
      <c r="D35" s="15">
        <f>IF(B35&lt;=$D$8,$D$18*$D$9^(B35-1),"")</f>
        <v/>
      </c>
      <c r="E35" s="16">
        <f>IF(B35&lt;=$D$8,$D$11*$D$10^(B35-1),"")</f>
        <v/>
      </c>
      <c r="F35" s="15">
        <f>IF(B35&lt;=$D$8,D35/E35,"")</f>
        <v/>
      </c>
      <c r="G35" s="17">
        <f>IF(B35&lt;=$D$8,F35/60,"")</f>
        <v/>
      </c>
      <c r="H35" s="17">
        <f>IF(B35&lt;=$D$8,SUM($F$25:F35)/60,"")</f>
        <v/>
      </c>
      <c r="I35" s="18">
        <f>IF(B35&lt;=$D$8,F35/$D$15,"")</f>
        <v/>
      </c>
      <c r="J35" s="15">
        <f>IF(B35&lt;=$D$8,D35/$D$12,"")</f>
        <v/>
      </c>
    </row>
    <row r="36">
      <c r="B36" s="9" t="n">
        <v>12</v>
      </c>
      <c r="C36" s="14" t="inlineStr">
        <is>
          <t>Best Dog in the World / Melhor Cachorro do Mundo</t>
        </is>
      </c>
      <c r="D36" s="15">
        <f>IF(B36&lt;=$D$8,$D$18*$D$9^(B36-1),"")</f>
        <v/>
      </c>
      <c r="E36" s="16">
        <f>IF(B36&lt;=$D$8,$D$11*$D$10^(B36-1),"")</f>
        <v/>
      </c>
      <c r="F36" s="15">
        <f>IF(B36&lt;=$D$8,D36/E36,"")</f>
        <v/>
      </c>
      <c r="G36" s="17">
        <f>IF(B36&lt;=$D$8,F36/60,"")</f>
        <v/>
      </c>
      <c r="H36" s="17">
        <f>IF(B36&lt;=$D$8,SUM($F$25:F36)/60,"")</f>
        <v/>
      </c>
      <c r="I36" s="18">
        <f>IF(B36&lt;=$D$8,F36/$D$15,"")</f>
        <v/>
      </c>
      <c r="J36" s="15">
        <f>IF(B36&lt;=$D$8,D36/$D$12,"")</f>
        <v/>
      </c>
    </row>
    <row r="37">
      <c r="B37" s="4" t="inlineStr">
        <is>
          <t>TOTAL</t>
        </is>
      </c>
      <c r="C37" s="5" t="inlineStr">
        <is>
          <t>sum of stage times / soma dos tempos</t>
        </is>
      </c>
      <c r="F37" s="19">
        <f>SUM(F25:F36)</f>
        <v/>
      </c>
      <c r="G37" s="20">
        <f>SUM(G25:G36)</f>
        <v/>
      </c>
      <c r="I37" s="21">
        <f>SUM(I25:I36)</f>
        <v/>
      </c>
    </row>
    <row r="39">
      <c r="B39" s="4" t="inlineStr">
        <is>
          <t>Check — the stage times must sum back to the target / Checagem — os tempos devem somar o alvo:</t>
        </is>
      </c>
      <c r="G39" s="22">
        <f>IF(ABS(G37-$D$7)&lt;0.01,"OK","ERROR")</f>
        <v/>
      </c>
    </row>
  </sheetData>
  <mergeCells count="3">
    <mergeCell ref="B23:J23"/>
    <mergeCell ref="B6:J6"/>
    <mergeCell ref="B14:J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B29"/>
  <sheetViews>
    <sheetView showGridLines="0" workbookViewId="0">
      <selection activeCell="A1" sqref="A1"/>
    </sheetView>
  </sheetViews>
  <sheetFormatPr baseColWidth="8" defaultRowHeight="15"/>
  <cols>
    <col width="110" customWidth="1" min="2" max="2"/>
  </cols>
  <sheetData>
    <row r="2">
      <c r="B2" s="23" t="inlineStr">
        <is>
          <t>How this sheet works / Como esta planilha funciona</t>
        </is>
      </c>
    </row>
    <row r="3">
      <c r="B3" s="24" t="inlineStr"/>
    </row>
    <row r="4">
      <c r="B4" s="25" t="inlineStr">
        <is>
          <t>EN</t>
        </is>
      </c>
    </row>
    <row r="5" ht="30" customHeight="1">
      <c r="B5" s="26" t="inlineStr">
        <is>
          <t>A clicker economy is two geometric curves. Cost per stage grows by a factor a; idle output grows by a factor b.</t>
        </is>
      </c>
    </row>
    <row r="6">
      <c r="B6" s="27" t="inlineStr">
        <is>
          <t xml:space="preserve">    cost_i   = C0 · a^i</t>
        </is>
      </c>
    </row>
    <row r="7">
      <c r="B7" s="27" t="inlineStr">
        <is>
          <t xml:space="preserve">    output_i = P0 · b^i</t>
        </is>
      </c>
    </row>
    <row r="8" ht="30" customHeight="1">
      <c r="B8" s="26" t="inlineStr">
        <is>
          <t>The time a stage takes is its cost divided by the output you have while paying for it:</t>
        </is>
      </c>
    </row>
    <row r="9">
      <c r="B9" s="27" t="inlineStr">
        <is>
          <t xml:space="preserve">    t_i = cost_i / output_i = (C0/P0) · r^i,   r = a/b</t>
        </is>
      </c>
    </row>
    <row r="10" ht="30" customHeight="1">
      <c r="B10" s="26" t="inlineStr">
        <is>
          <t>Summing every stage is a geometric series, so the whole run has a closed form:</t>
        </is>
      </c>
    </row>
    <row r="11">
      <c r="B11" s="27" t="inlineStr">
        <is>
          <t xml:space="preserve">    total = (C0/P0) · (r^N − 1)/(r − 1)</t>
        </is>
      </c>
    </row>
    <row r="12" ht="30" customHeight="1">
      <c r="B12" s="26" t="inlineStr">
        <is>
          <t>Most clicker sheets stop here and let the designer poke at C0 until the total looks right. This one inverts it, so the target time commands the curve instead of the other way round:</t>
        </is>
      </c>
    </row>
    <row r="13">
      <c r="B13" s="27" t="inlineStr">
        <is>
          <t xml:space="preserve">    C0 = T · P0 · (r − 1) / (r^N − 1)</t>
        </is>
      </c>
    </row>
    <row r="14" ht="30" customHeight="1">
      <c r="B14" s="26" t="inlineStr">
        <is>
          <t>That is the only reason a 45-minute game becomes a 90-minute game by editing one cell. Because a &gt; b, r &gt; 1, so each stage costs slightly more time than the last and the run swells toward a climax instead of flatlining — but always on a total that is provably the target.</t>
        </is>
      </c>
    </row>
    <row r="15">
      <c r="B15" s="24" t="inlineStr"/>
    </row>
    <row r="16">
      <c r="B16" s="25" t="inlineStr">
        <is>
          <t>PT</t>
        </is>
      </c>
    </row>
    <row r="17" ht="30" customHeight="1">
      <c r="B17" s="26" t="inlineStr">
        <is>
          <t>A economia de um clicker são duas curvas geométricas. O custo por estágio cresce por um fator a; a produção passiva cresce por um fator b.</t>
        </is>
      </c>
    </row>
    <row r="18">
      <c r="B18" s="27" t="inlineStr">
        <is>
          <t xml:space="preserve">    custo_i    = C0 · a^i</t>
        </is>
      </c>
    </row>
    <row r="19">
      <c r="B19" s="27" t="inlineStr">
        <is>
          <t xml:space="preserve">    producao_i = P0 · b^i</t>
        </is>
      </c>
    </row>
    <row r="20" ht="30" customHeight="1">
      <c r="B20" s="26" t="inlineStr">
        <is>
          <t>O tempo de um estágio é o custo dividido pela produção que você tem enquanto paga por ele:</t>
        </is>
      </c>
    </row>
    <row r="21">
      <c r="B21" s="27" t="inlineStr">
        <is>
          <t xml:space="preserve">    t_i = custo_i / producao_i = (C0/P0) · r^i,   r = a/b</t>
        </is>
      </c>
    </row>
    <row r="22" ht="30" customHeight="1">
      <c r="B22" s="26" t="inlineStr">
        <is>
          <t>Somar todos os estágios é uma série geométrica, então a run inteira tem forma fechada:</t>
        </is>
      </c>
    </row>
    <row r="23">
      <c r="B23" s="27" t="inlineStr">
        <is>
          <t xml:space="preserve">    total = (C0/P0) · (r^N − 1)/(r − 1)</t>
        </is>
      </c>
    </row>
    <row r="24" ht="30" customHeight="1">
      <c r="B24" s="26" t="inlineStr">
        <is>
          <t>A maioria das planilhas de clicker para por aqui e deixa o designer cutucar o C0 até o total parecer certo. Esta inverte, para que o tempo-alvo comande a curva, e não o contrário:</t>
        </is>
      </c>
    </row>
    <row r="25">
      <c r="B25" s="27" t="inlineStr">
        <is>
          <t xml:space="preserve">    C0 = T · P0 · (r − 1) / (r^N − 1)</t>
        </is>
      </c>
    </row>
    <row r="26" ht="30" customHeight="1">
      <c r="B26" s="26" t="inlineStr">
        <is>
          <t>É por isso que um jogo de 45 minutos vira um de 90 editando uma célula. Como a &gt; b, r &gt; 1, então cada estágio custa um pouco mais de tempo que o anterior e a run cresce rumo a um clímax em vez de estagnar — mas sempre sobre um total que é comprovadamente o alvo.</t>
        </is>
      </c>
    </row>
    <row r="27">
      <c r="B27" s="24" t="inlineStr"/>
    </row>
    <row r="28">
      <c r="B28" s="28" t="inlineStr">
        <is>
          <t>Blue = editable input.  Black = formula.  Never type a black number by hand.</t>
        </is>
      </c>
    </row>
    <row r="29">
      <c r="B29" s="28" t="inlineStr">
        <is>
          <t>Azul = input editável.  Preto = fórmula.  Nunca digite um número preto na mão.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2026-08-06T20:51:45Z</dcterms:created>
  <dcterms:modified xsi:type="dcterms:W3CDTF">2026-08-06T20:51:45Z</dcterms:modified>
</cp:coreProperties>
</file>